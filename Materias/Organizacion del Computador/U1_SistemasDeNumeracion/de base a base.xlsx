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to\Desktop\Organizacion del Computador\"/>
    </mc:Choice>
  </mc:AlternateContent>
  <bookViews>
    <workbookView xWindow="0" yWindow="0" windowWidth="21570" windowHeight="80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1" l="1"/>
  <c r="P19" i="1"/>
  <c r="H27" i="1" l="1"/>
  <c r="H26" i="1"/>
  <c r="B27" i="1"/>
  <c r="B26" i="1"/>
  <c r="E25" i="1"/>
  <c r="E24" i="1"/>
  <c r="B25" i="1"/>
  <c r="B24" i="1"/>
  <c r="B23" i="1"/>
  <c r="B22" i="1"/>
  <c r="B13" i="1"/>
  <c r="B5" i="1"/>
  <c r="B10" i="1"/>
  <c r="B12" i="1"/>
  <c r="B11" i="1"/>
  <c r="B9" i="1"/>
  <c r="B8" i="1"/>
  <c r="D8" i="1"/>
  <c r="B7" i="1"/>
  <c r="B6" i="1"/>
  <c r="D5" i="1"/>
  <c r="D4" i="1"/>
  <c r="D3" i="1"/>
  <c r="B4" i="1"/>
  <c r="B3" i="1"/>
  <c r="B2" i="1"/>
</calcChain>
</file>

<file path=xl/sharedStrings.xml><?xml version="1.0" encoding="utf-8"?>
<sst xmlns="http://schemas.openxmlformats.org/spreadsheetml/2006/main" count="94" uniqueCount="81">
  <si>
    <t>A base 10</t>
  </si>
  <si>
    <t>19]..16</t>
  </si>
  <si>
    <t>0.68]..9</t>
  </si>
  <si>
    <t>3.57]..8</t>
  </si>
  <si>
    <t>15]..15</t>
  </si>
  <si>
    <t>0.CAFE]..16</t>
  </si>
  <si>
    <t>7.B]..16</t>
  </si>
  <si>
    <t>0.213]..4</t>
  </si>
  <si>
    <t>0.111]..2</t>
  </si>
  <si>
    <t>654]..8</t>
  </si>
  <si>
    <t>De N base</t>
  </si>
  <si>
    <t>0.2]..3</t>
  </si>
  <si>
    <t>53]..14</t>
  </si>
  <si>
    <t>123]..8</t>
  </si>
  <si>
    <t>De base 10</t>
  </si>
  <si>
    <t>A base N</t>
  </si>
  <si>
    <t>19]..6</t>
  </si>
  <si>
    <t>5]..15</t>
  </si>
  <si>
    <t>45]..8</t>
  </si>
  <si>
    <t>13]..14</t>
  </si>
  <si>
    <t>D</t>
  </si>
  <si>
    <t>De base N</t>
  </si>
  <si>
    <t>45]..8 a 7</t>
  </si>
  <si>
    <t>base 10</t>
  </si>
  <si>
    <t>1010.01]..2 a 9</t>
  </si>
  <si>
    <t>…</t>
  </si>
  <si>
    <t>0.1A]..16 a 8</t>
  </si>
  <si>
    <t>54321]..6 a 8</t>
  </si>
  <si>
    <t>56]..8 s 3</t>
  </si>
  <si>
    <t>ABC]..16 a 5</t>
  </si>
  <si>
    <t>sumo en base 8</t>
  </si>
  <si>
    <t>sumo en base 2</t>
  </si>
  <si>
    <t>sumo en base 4</t>
  </si>
  <si>
    <t>sumo en base 16</t>
  </si>
  <si>
    <t>F66</t>
  </si>
  <si>
    <t>9AF</t>
  </si>
  <si>
    <t>101 + 1010 = 1111</t>
  </si>
  <si>
    <t>5423 + 2134 = 7557</t>
  </si>
  <si>
    <t>CDDE + 1F1F = ECFD</t>
  </si>
  <si>
    <t>1011 + 1111 = 11010</t>
  </si>
  <si>
    <t>1213 +2113 = 3332</t>
  </si>
  <si>
    <t>7231 + 3025 = 12256</t>
  </si>
  <si>
    <t>resta en base 8</t>
  </si>
  <si>
    <t>resta en base 2</t>
  </si>
  <si>
    <t>resta en base 4</t>
  </si>
  <si>
    <t>resta en base 16</t>
  </si>
  <si>
    <t>1101 - 10 = 1011</t>
  </si>
  <si>
    <t>5423 - 1111 = 10000 - 1111 = 7777 - 1111 = 6666 + 1 = 6667 + 5423 = 14312 - 10000 = 4312</t>
  </si>
  <si>
    <t>DDE - F1F = 1000 - F1F = FFF - F1F = 0E0 + 1 = E1 + DDE = EBF = FFF - EBF = 140 + 1 = -141</t>
  </si>
  <si>
    <t>Punto Flotante:</t>
  </si>
  <si>
    <t>(-837,78) decimal a punto flotante de simple presicion</t>
  </si>
  <si>
    <t>Paso a binario:</t>
  </si>
  <si>
    <t>Expreso con exponente:</t>
  </si>
  <si>
    <t>1.1010001011100 x 10 ^ 9</t>
  </si>
  <si>
    <t>Sumo el exponente + el exceso 127:</t>
  </si>
  <si>
    <t>9 + 127 = 136</t>
  </si>
  <si>
    <t>Paso ese numero a binario:</t>
  </si>
  <si>
    <t>1 - 10001000 - 10100010111000000000000</t>
  </si>
  <si>
    <t>Como es negativo, tiene un 1, el exponente y la matisa:</t>
  </si>
  <si>
    <t>Positividad con 1 o 0, despues exponente + exceso y matisa</t>
  </si>
  <si>
    <t>A</t>
  </si>
  <si>
    <t>B</t>
  </si>
  <si>
    <t>C</t>
  </si>
  <si>
    <t>E</t>
  </si>
  <si>
    <t>F</t>
  </si>
  <si>
    <t>De punto flotante simple presicion a decimal</t>
  </si>
  <si>
    <t>10101011110111010000000100010001</t>
  </si>
  <si>
    <t xml:space="preserve">01010111 = 87 --- 87 - 127 == -40 (exponente -40) </t>
  </si>
  <si>
    <t>1 - Negativo , exponente - 01010111 , matisa - 1.10111010000000100010001</t>
  </si>
  <si>
    <t>1.726595044 x 2 ^ -40</t>
  </si>
  <si>
    <t>El numero en decimal es el 1.57033 x 10 ^ -12</t>
  </si>
  <si>
    <t xml:space="preserve">matisa pasada a decimal = </t>
  </si>
  <si>
    <t>FINAL</t>
  </si>
  <si>
    <t>AB</t>
  </si>
  <si>
    <t>CD</t>
  </si>
  <si>
    <t>A+B</t>
  </si>
  <si>
    <t>C+D</t>
  </si>
  <si>
    <t>A'</t>
  </si>
  <si>
    <t>B'</t>
  </si>
  <si>
    <t>C'</t>
  </si>
  <si>
    <t>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</si>
</sst>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4" borderId="1" xfId="0" applyFill="1" applyBorder="1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0" fontId="0" fillId="3" borderId="1" xfId="0" applyFill="1" applyBorder="1"/>
    <xf numFmtId="49" fontId="0" fillId="0" borderId="1" xfId="0" applyNumberFormat="1" applyBorder="1"/>
    <xf numFmtId="0" fontId="0" fillId="0" borderId="1" xfId="0" applyNumberFormat="1" applyBorder="1"/>
    <xf numFmtId="0" fontId="0" fillId="4" borderId="2" xfId="0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"/>
  <sheetViews>
    <sheetView tabSelected="1" topLeftCell="P1" workbookViewId="0">
      <selection activeCell="S17" sqref="S17"/>
    </sheetView>
  </sheetViews>
  <sheetFormatPr baseColWidth="10" defaultRowHeight="15" x14ac:dyDescent="0.25"/>
  <cols>
    <col min="1" max="1" width="14" customWidth="1"/>
    <col min="6" max="6" width="17.7109375" customWidth="1"/>
    <col min="7" max="7" width="18.5703125" customWidth="1"/>
    <col min="8" max="8" width="17.7109375" customWidth="1"/>
    <col min="9" max="9" width="18" customWidth="1"/>
    <col min="15" max="15" width="65.85546875" customWidth="1"/>
    <col min="16" max="16" width="36.7109375" customWidth="1"/>
    <col min="19" max="22" width="2.85546875" customWidth="1"/>
  </cols>
  <sheetData>
    <row r="1" spans="1:33" x14ac:dyDescent="0.25">
      <c r="A1" t="s">
        <v>10</v>
      </c>
      <c r="B1" t="s">
        <v>0</v>
      </c>
      <c r="F1" t="s">
        <v>30</v>
      </c>
      <c r="G1" t="s">
        <v>31</v>
      </c>
      <c r="H1" t="s">
        <v>32</v>
      </c>
      <c r="I1" t="s">
        <v>33</v>
      </c>
      <c r="O1" s="9" t="s">
        <v>49</v>
      </c>
      <c r="R1" s="14"/>
      <c r="S1" s="16" t="s">
        <v>60</v>
      </c>
      <c r="T1" s="22" t="s">
        <v>61</v>
      </c>
      <c r="U1" s="22" t="s">
        <v>62</v>
      </c>
      <c r="V1" s="17" t="s">
        <v>20</v>
      </c>
      <c r="W1" s="16" t="s">
        <v>77</v>
      </c>
      <c r="X1" s="22" t="s">
        <v>78</v>
      </c>
      <c r="Y1" s="22" t="s">
        <v>79</v>
      </c>
      <c r="Z1" s="17" t="s">
        <v>80</v>
      </c>
      <c r="AA1" s="16" t="s">
        <v>73</v>
      </c>
      <c r="AB1" s="22" t="s">
        <v>74</v>
      </c>
      <c r="AC1" s="22" t="s">
        <v>75</v>
      </c>
      <c r="AD1" s="17" t="s">
        <v>76</v>
      </c>
      <c r="AG1" s="24" t="s">
        <v>72</v>
      </c>
    </row>
    <row r="2" spans="1:33" x14ac:dyDescent="0.25">
      <c r="A2" t="s">
        <v>1</v>
      </c>
      <c r="B2">
        <f>9+16</f>
        <v>25</v>
      </c>
      <c r="F2">
        <v>7546</v>
      </c>
      <c r="G2" s="3">
        <v>111101100110</v>
      </c>
      <c r="H2">
        <v>331212</v>
      </c>
      <c r="I2" t="s">
        <v>34</v>
      </c>
      <c r="O2" s="7" t="s">
        <v>50</v>
      </c>
      <c r="R2" s="14"/>
      <c r="S2" s="18">
        <v>0</v>
      </c>
      <c r="T2" s="15">
        <v>0</v>
      </c>
      <c r="U2" s="15">
        <v>0</v>
      </c>
      <c r="V2" s="19">
        <v>0</v>
      </c>
      <c r="W2" s="18">
        <v>1</v>
      </c>
      <c r="X2" s="15">
        <v>1</v>
      </c>
      <c r="Y2" s="15">
        <v>1</v>
      </c>
      <c r="Z2" s="19">
        <v>1</v>
      </c>
      <c r="AA2" s="18">
        <v>0</v>
      </c>
      <c r="AB2" s="15">
        <v>0</v>
      </c>
      <c r="AC2" s="15">
        <v>0</v>
      </c>
      <c r="AD2" s="19">
        <v>0</v>
      </c>
      <c r="AG2" s="25">
        <v>0</v>
      </c>
    </row>
    <row r="3" spans="1:33" x14ac:dyDescent="0.25">
      <c r="A3" t="s">
        <v>2</v>
      </c>
      <c r="B3" s="1">
        <f>8*1/81+6*1/9</f>
        <v>0.76543209876543206</v>
      </c>
      <c r="D3">
        <f>16*16*16*16</f>
        <v>65536</v>
      </c>
      <c r="F3">
        <v>4657</v>
      </c>
      <c r="G3" s="3">
        <v>100110101111</v>
      </c>
      <c r="H3">
        <v>212233</v>
      </c>
      <c r="I3" t="s">
        <v>35</v>
      </c>
      <c r="R3" s="14"/>
      <c r="S3" s="18">
        <v>0</v>
      </c>
      <c r="T3" s="15">
        <v>0</v>
      </c>
      <c r="U3" s="15">
        <v>0</v>
      </c>
      <c r="V3" s="19">
        <v>1</v>
      </c>
      <c r="W3" s="18">
        <v>1</v>
      </c>
      <c r="X3" s="15">
        <v>1</v>
      </c>
      <c r="Y3" s="15">
        <v>1</v>
      </c>
      <c r="Z3" s="19">
        <v>0</v>
      </c>
      <c r="AA3" s="18">
        <v>0</v>
      </c>
      <c r="AB3" s="15">
        <v>0</v>
      </c>
      <c r="AC3" s="15">
        <v>0</v>
      </c>
      <c r="AD3" s="19">
        <v>1</v>
      </c>
      <c r="AG3" s="25">
        <v>0</v>
      </c>
    </row>
    <row r="4" spans="1:33" x14ac:dyDescent="0.25">
      <c r="A4" t="s">
        <v>3</v>
      </c>
      <c r="B4">
        <f>7*1/64+5*1/8+3</f>
        <v>3.734375</v>
      </c>
      <c r="D4">
        <f>16*16*16</f>
        <v>4096</v>
      </c>
      <c r="N4" s="6" t="s">
        <v>60</v>
      </c>
      <c r="O4" s="7" t="s">
        <v>51</v>
      </c>
      <c r="P4" s="8">
        <v>1101000101.1099999</v>
      </c>
      <c r="R4" s="14"/>
      <c r="S4" s="18">
        <v>0</v>
      </c>
      <c r="T4" s="15">
        <v>0</v>
      </c>
      <c r="U4" s="15">
        <v>1</v>
      </c>
      <c r="V4" s="19">
        <v>0</v>
      </c>
      <c r="W4" s="18">
        <v>1</v>
      </c>
      <c r="X4" s="15">
        <v>1</v>
      </c>
      <c r="Y4" s="15">
        <v>0</v>
      </c>
      <c r="Z4" s="19">
        <v>1</v>
      </c>
      <c r="AA4" s="18">
        <v>0</v>
      </c>
      <c r="AB4" s="15">
        <v>0</v>
      </c>
      <c r="AC4" s="15">
        <v>0</v>
      </c>
      <c r="AD4" s="19">
        <v>1</v>
      </c>
      <c r="AG4" s="25">
        <v>0</v>
      </c>
    </row>
    <row r="5" spans="1:33" x14ac:dyDescent="0.25">
      <c r="A5" t="s">
        <v>4</v>
      </c>
      <c r="B5">
        <f>5+15</f>
        <v>20</v>
      </c>
      <c r="D5">
        <f>16*16</f>
        <v>256</v>
      </c>
      <c r="F5" s="4">
        <v>14425</v>
      </c>
      <c r="G5" s="5">
        <v>1100100010101</v>
      </c>
      <c r="H5" s="4">
        <v>1210111</v>
      </c>
      <c r="I5" s="4">
        <v>1915</v>
      </c>
      <c r="N5" s="6" t="s">
        <v>61</v>
      </c>
      <c r="O5" s="7" t="s">
        <v>52</v>
      </c>
      <c r="P5" s="7" t="s">
        <v>53</v>
      </c>
      <c r="R5" s="14"/>
      <c r="S5" s="18">
        <v>0</v>
      </c>
      <c r="T5" s="15">
        <v>0</v>
      </c>
      <c r="U5" s="15">
        <v>1</v>
      </c>
      <c r="V5" s="19">
        <v>1</v>
      </c>
      <c r="W5" s="18">
        <v>1</v>
      </c>
      <c r="X5" s="15">
        <v>1</v>
      </c>
      <c r="Y5" s="15">
        <v>0</v>
      </c>
      <c r="Z5" s="19">
        <v>0</v>
      </c>
      <c r="AA5" s="18">
        <v>0</v>
      </c>
      <c r="AB5" s="15">
        <v>1</v>
      </c>
      <c r="AC5" s="15">
        <v>0</v>
      </c>
      <c r="AD5" s="19">
        <v>1</v>
      </c>
      <c r="AG5" s="25">
        <v>0</v>
      </c>
    </row>
    <row r="6" spans="1:33" x14ac:dyDescent="0.25">
      <c r="A6" t="s">
        <v>5</v>
      </c>
      <c r="B6">
        <f>14*1/D3+15*1/D4+10*1/D5+12*1/16</f>
        <v>0.792938232421875</v>
      </c>
      <c r="N6" s="6" t="s">
        <v>62</v>
      </c>
      <c r="O6" s="7" t="s">
        <v>54</v>
      </c>
      <c r="P6" s="7" t="s">
        <v>55</v>
      </c>
      <c r="R6" s="14"/>
      <c r="S6" s="18">
        <v>0</v>
      </c>
      <c r="T6" s="15">
        <v>1</v>
      </c>
      <c r="U6" s="15">
        <v>0</v>
      </c>
      <c r="V6" s="19">
        <v>0</v>
      </c>
      <c r="W6" s="18">
        <v>1</v>
      </c>
      <c r="X6" s="15">
        <v>0</v>
      </c>
      <c r="Y6" s="15">
        <v>1</v>
      </c>
      <c r="Z6" s="19">
        <v>1</v>
      </c>
      <c r="AA6" s="18">
        <v>0</v>
      </c>
      <c r="AB6" s="15">
        <v>0</v>
      </c>
      <c r="AC6" s="15">
        <v>1</v>
      </c>
      <c r="AD6" s="19">
        <v>0</v>
      </c>
      <c r="AG6" s="25">
        <v>0</v>
      </c>
    </row>
    <row r="7" spans="1:33" x14ac:dyDescent="0.25">
      <c r="A7" t="s">
        <v>6</v>
      </c>
      <c r="B7">
        <f>11*1/16+7</f>
        <v>7.6875</v>
      </c>
      <c r="N7" s="6" t="s">
        <v>20</v>
      </c>
      <c r="O7" s="7" t="s">
        <v>56</v>
      </c>
      <c r="P7" s="7">
        <v>10001000</v>
      </c>
      <c r="R7" s="14"/>
      <c r="S7" s="18">
        <v>0</v>
      </c>
      <c r="T7" s="15">
        <v>1</v>
      </c>
      <c r="U7" s="15">
        <v>0</v>
      </c>
      <c r="V7" s="19">
        <v>1</v>
      </c>
      <c r="W7" s="18">
        <v>1</v>
      </c>
      <c r="X7" s="15">
        <v>0</v>
      </c>
      <c r="Y7" s="15">
        <v>1</v>
      </c>
      <c r="Z7" s="19">
        <v>0</v>
      </c>
      <c r="AA7" s="18">
        <v>0</v>
      </c>
      <c r="AB7" s="15">
        <v>0</v>
      </c>
      <c r="AC7" s="15">
        <v>1</v>
      </c>
      <c r="AD7" s="19">
        <v>1</v>
      </c>
      <c r="AG7" s="25">
        <v>0</v>
      </c>
    </row>
    <row r="8" spans="1:33" x14ac:dyDescent="0.25">
      <c r="A8" t="s">
        <v>7</v>
      </c>
      <c r="B8">
        <f>3*1/64+1/16+2*1/4</f>
        <v>0.609375</v>
      </c>
      <c r="D8">
        <f>4*4*4</f>
        <v>64</v>
      </c>
      <c r="F8" t="s">
        <v>37</v>
      </c>
      <c r="G8" t="s">
        <v>39</v>
      </c>
      <c r="H8" t="s">
        <v>40</v>
      </c>
      <c r="I8" t="s">
        <v>38</v>
      </c>
      <c r="N8" s="6" t="s">
        <v>63</v>
      </c>
      <c r="O8" s="7" t="s">
        <v>58</v>
      </c>
      <c r="P8" s="7" t="s">
        <v>57</v>
      </c>
      <c r="R8" s="14"/>
      <c r="S8" s="18">
        <v>0</v>
      </c>
      <c r="T8" s="15">
        <v>1</v>
      </c>
      <c r="U8" s="15">
        <v>1</v>
      </c>
      <c r="V8" s="19">
        <v>0</v>
      </c>
      <c r="W8" s="18">
        <v>1</v>
      </c>
      <c r="X8" s="15">
        <v>0</v>
      </c>
      <c r="Y8" s="15">
        <v>0</v>
      </c>
      <c r="Z8" s="19">
        <v>1</v>
      </c>
      <c r="AA8" s="18">
        <v>0</v>
      </c>
      <c r="AB8" s="15">
        <v>0</v>
      </c>
      <c r="AC8" s="15">
        <v>1</v>
      </c>
      <c r="AD8" s="19">
        <v>1</v>
      </c>
      <c r="AG8" s="25">
        <v>0</v>
      </c>
    </row>
    <row r="9" spans="1:33" x14ac:dyDescent="0.25">
      <c r="A9" t="s">
        <v>8</v>
      </c>
      <c r="B9">
        <f>1/8+1/4+1/2</f>
        <v>0.875</v>
      </c>
      <c r="F9" t="s">
        <v>41</v>
      </c>
      <c r="G9" t="s">
        <v>36</v>
      </c>
      <c r="N9" s="6" t="s">
        <v>64</v>
      </c>
      <c r="O9" s="7" t="s">
        <v>59</v>
      </c>
      <c r="P9" s="7"/>
      <c r="R9" s="14"/>
      <c r="S9" s="18">
        <v>0</v>
      </c>
      <c r="T9" s="15">
        <v>1</v>
      </c>
      <c r="U9" s="15">
        <v>1</v>
      </c>
      <c r="V9" s="19">
        <v>1</v>
      </c>
      <c r="W9" s="18">
        <v>1</v>
      </c>
      <c r="X9" s="15">
        <v>0</v>
      </c>
      <c r="Y9" s="15">
        <v>0</v>
      </c>
      <c r="Z9" s="19">
        <v>0</v>
      </c>
      <c r="AA9" s="18">
        <v>0</v>
      </c>
      <c r="AB9" s="15">
        <v>1</v>
      </c>
      <c r="AC9" s="15">
        <v>1</v>
      </c>
      <c r="AD9" s="19">
        <v>1</v>
      </c>
      <c r="AG9" s="25">
        <v>1</v>
      </c>
    </row>
    <row r="10" spans="1:33" x14ac:dyDescent="0.25">
      <c r="A10" t="s">
        <v>9</v>
      </c>
      <c r="B10">
        <f>4+5*8+6*64</f>
        <v>428</v>
      </c>
      <c r="R10" s="14"/>
      <c r="S10" s="18">
        <v>1</v>
      </c>
      <c r="T10" s="15">
        <v>0</v>
      </c>
      <c r="U10" s="15">
        <v>0</v>
      </c>
      <c r="V10" s="19">
        <v>0</v>
      </c>
      <c r="W10" s="18">
        <v>0</v>
      </c>
      <c r="X10" s="15">
        <v>1</v>
      </c>
      <c r="Y10" s="15">
        <v>1</v>
      </c>
      <c r="Z10" s="19">
        <v>1</v>
      </c>
      <c r="AA10" s="18">
        <v>0</v>
      </c>
      <c r="AB10" s="15">
        <v>0</v>
      </c>
      <c r="AC10" s="15">
        <v>1</v>
      </c>
      <c r="AD10" s="19">
        <v>0</v>
      </c>
      <c r="AG10" s="25">
        <v>0</v>
      </c>
    </row>
    <row r="11" spans="1:33" x14ac:dyDescent="0.25">
      <c r="A11" t="s">
        <v>11</v>
      </c>
      <c r="B11">
        <f>2*1/3</f>
        <v>0.66666666666666663</v>
      </c>
      <c r="F11" t="s">
        <v>42</v>
      </c>
      <c r="G11" t="s">
        <v>43</v>
      </c>
      <c r="H11" t="s">
        <v>44</v>
      </c>
      <c r="I11" t="s">
        <v>45</v>
      </c>
      <c r="R11" s="14"/>
      <c r="S11" s="18">
        <v>1</v>
      </c>
      <c r="T11" s="15">
        <v>0</v>
      </c>
      <c r="U11" s="15">
        <v>0</v>
      </c>
      <c r="V11" s="19">
        <v>1</v>
      </c>
      <c r="W11" s="18">
        <v>0</v>
      </c>
      <c r="X11" s="15">
        <v>1</v>
      </c>
      <c r="Y11" s="15">
        <v>1</v>
      </c>
      <c r="Z11" s="19">
        <v>0</v>
      </c>
      <c r="AA11" s="18">
        <v>0</v>
      </c>
      <c r="AB11" s="15">
        <v>0</v>
      </c>
      <c r="AC11" s="15">
        <v>1</v>
      </c>
      <c r="AD11" s="19">
        <v>1</v>
      </c>
      <c r="AG11" s="25">
        <v>0</v>
      </c>
    </row>
    <row r="12" spans="1:33" x14ac:dyDescent="0.25">
      <c r="A12" t="s">
        <v>12</v>
      </c>
      <c r="B12">
        <f>3+5*14</f>
        <v>73</v>
      </c>
      <c r="F12" t="s">
        <v>47</v>
      </c>
      <c r="G12" t="s">
        <v>46</v>
      </c>
      <c r="I12" t="s">
        <v>48</v>
      </c>
      <c r="R12" s="14"/>
      <c r="S12" s="18">
        <v>1</v>
      </c>
      <c r="T12" s="15">
        <v>0</v>
      </c>
      <c r="U12" s="15">
        <v>1</v>
      </c>
      <c r="V12" s="19">
        <v>0</v>
      </c>
      <c r="W12" s="18">
        <v>0</v>
      </c>
      <c r="X12" s="15">
        <v>1</v>
      </c>
      <c r="Y12" s="15">
        <v>0</v>
      </c>
      <c r="Z12" s="19">
        <v>1</v>
      </c>
      <c r="AA12" s="18">
        <v>0</v>
      </c>
      <c r="AB12" s="15">
        <v>0</v>
      </c>
      <c r="AC12" s="15">
        <v>1</v>
      </c>
      <c r="AD12" s="19">
        <v>1</v>
      </c>
      <c r="AG12" s="25">
        <v>0</v>
      </c>
    </row>
    <row r="13" spans="1:33" x14ac:dyDescent="0.25">
      <c r="A13" t="s">
        <v>13</v>
      </c>
      <c r="B13">
        <f>3+16+64</f>
        <v>83</v>
      </c>
      <c r="R13" s="14"/>
      <c r="S13" s="18">
        <v>1</v>
      </c>
      <c r="T13" s="15">
        <v>0</v>
      </c>
      <c r="U13" s="15">
        <v>1</v>
      </c>
      <c r="V13" s="19">
        <v>1</v>
      </c>
      <c r="W13" s="18">
        <v>0</v>
      </c>
      <c r="X13" s="15">
        <v>1</v>
      </c>
      <c r="Y13" s="15">
        <v>0</v>
      </c>
      <c r="Z13" s="19">
        <v>0</v>
      </c>
      <c r="AA13" s="18">
        <v>0</v>
      </c>
      <c r="AB13" s="15">
        <v>1</v>
      </c>
      <c r="AC13" s="15">
        <v>1</v>
      </c>
      <c r="AD13" s="19">
        <v>1</v>
      </c>
      <c r="AG13" s="25">
        <v>1</v>
      </c>
    </row>
    <row r="14" spans="1:33" x14ac:dyDescent="0.25">
      <c r="R14" s="14"/>
      <c r="S14" s="18">
        <v>1</v>
      </c>
      <c r="T14" s="15">
        <v>1</v>
      </c>
      <c r="U14" s="15">
        <v>0</v>
      </c>
      <c r="V14" s="19">
        <v>0</v>
      </c>
      <c r="W14" s="18">
        <v>0</v>
      </c>
      <c r="X14" s="15">
        <v>0</v>
      </c>
      <c r="Y14" s="15">
        <v>1</v>
      </c>
      <c r="Z14" s="19">
        <v>1</v>
      </c>
      <c r="AA14" s="18">
        <v>1</v>
      </c>
      <c r="AB14" s="15">
        <v>0</v>
      </c>
      <c r="AC14" s="15">
        <v>1</v>
      </c>
      <c r="AD14" s="19">
        <v>0</v>
      </c>
      <c r="AG14" s="25">
        <v>0</v>
      </c>
    </row>
    <row r="15" spans="1:33" x14ac:dyDescent="0.25">
      <c r="A15" t="s">
        <v>14</v>
      </c>
      <c r="B15" t="s">
        <v>15</v>
      </c>
      <c r="O15" s="10" t="s">
        <v>65</v>
      </c>
      <c r="R15" s="14"/>
      <c r="S15" s="18">
        <v>1</v>
      </c>
      <c r="T15" s="15">
        <v>1</v>
      </c>
      <c r="U15" s="15">
        <v>0</v>
      </c>
      <c r="V15" s="19">
        <v>1</v>
      </c>
      <c r="W15" s="18">
        <v>0</v>
      </c>
      <c r="X15" s="15">
        <v>0</v>
      </c>
      <c r="Y15" s="15">
        <v>1</v>
      </c>
      <c r="Z15" s="19">
        <v>0</v>
      </c>
      <c r="AA15" s="18">
        <v>1</v>
      </c>
      <c r="AB15" s="15">
        <v>0</v>
      </c>
      <c r="AC15" s="15">
        <v>1</v>
      </c>
      <c r="AD15" s="19">
        <v>1</v>
      </c>
      <c r="AG15" s="25">
        <v>1</v>
      </c>
    </row>
    <row r="16" spans="1:33" x14ac:dyDescent="0.25">
      <c r="A16" t="s">
        <v>16</v>
      </c>
      <c r="B16">
        <v>31</v>
      </c>
      <c r="O16" s="11" t="s">
        <v>66</v>
      </c>
      <c r="R16" s="14"/>
      <c r="S16" s="18">
        <v>1</v>
      </c>
      <c r="T16" s="15">
        <v>1</v>
      </c>
      <c r="U16" s="15">
        <v>1</v>
      </c>
      <c r="V16" s="19">
        <v>0</v>
      </c>
      <c r="W16" s="18">
        <v>0</v>
      </c>
      <c r="X16" s="15">
        <v>0</v>
      </c>
      <c r="Y16" s="15">
        <v>0</v>
      </c>
      <c r="Z16" s="19">
        <v>1</v>
      </c>
      <c r="AA16" s="18">
        <v>1</v>
      </c>
      <c r="AB16" s="15">
        <v>0</v>
      </c>
      <c r="AC16" s="15">
        <v>1</v>
      </c>
      <c r="AD16" s="19">
        <v>1</v>
      </c>
      <c r="AG16" s="25">
        <v>1</v>
      </c>
    </row>
    <row r="17" spans="1:33" ht="15.75" thickBot="1" x14ac:dyDescent="0.3">
      <c r="A17" t="s">
        <v>17</v>
      </c>
      <c r="B17">
        <v>5</v>
      </c>
      <c r="N17" s="13" t="s">
        <v>60</v>
      </c>
      <c r="O17" s="7" t="s">
        <v>68</v>
      </c>
      <c r="R17" s="14"/>
      <c r="S17" s="20">
        <v>1</v>
      </c>
      <c r="T17" s="23">
        <v>1</v>
      </c>
      <c r="U17" s="23">
        <v>1</v>
      </c>
      <c r="V17" s="21">
        <v>1</v>
      </c>
      <c r="W17" s="20">
        <v>0</v>
      </c>
      <c r="X17" s="23">
        <v>0</v>
      </c>
      <c r="Y17" s="23">
        <v>0</v>
      </c>
      <c r="Z17" s="21">
        <v>0</v>
      </c>
      <c r="AA17" s="20">
        <v>1</v>
      </c>
      <c r="AB17" s="23">
        <v>1</v>
      </c>
      <c r="AC17" s="23">
        <v>1</v>
      </c>
      <c r="AD17" s="21">
        <v>1</v>
      </c>
      <c r="AG17" s="26">
        <v>1</v>
      </c>
    </row>
    <row r="18" spans="1:33" x14ac:dyDescent="0.25">
      <c r="A18" t="s">
        <v>18</v>
      </c>
      <c r="B18">
        <v>55</v>
      </c>
      <c r="N18" s="13" t="s">
        <v>61</v>
      </c>
      <c r="O18" s="7" t="s">
        <v>67</v>
      </c>
      <c r="AA18" s="14"/>
    </row>
    <row r="19" spans="1:33" x14ac:dyDescent="0.25">
      <c r="A19" t="s">
        <v>19</v>
      </c>
      <c r="B19" s="2" t="s">
        <v>20</v>
      </c>
      <c r="N19" s="13" t="s">
        <v>62</v>
      </c>
      <c r="O19" s="7" t="s">
        <v>71</v>
      </c>
      <c r="P19" s="7">
        <f>1+1/2+1/8+1/16+1/32+1/128+1/32768+1/524288+1/8388608</f>
        <v>1.7265950441360474</v>
      </c>
    </row>
    <row r="20" spans="1:33" x14ac:dyDescent="0.25">
      <c r="N20" s="13" t="s">
        <v>20</v>
      </c>
      <c r="O20" s="7" t="s">
        <v>69</v>
      </c>
    </row>
    <row r="21" spans="1:33" x14ac:dyDescent="0.25">
      <c r="A21" t="s">
        <v>21</v>
      </c>
      <c r="B21" t="s">
        <v>23</v>
      </c>
      <c r="C21" t="s">
        <v>15</v>
      </c>
      <c r="N21" s="13" t="s">
        <v>63</v>
      </c>
      <c r="O21" s="12">
        <f>1.726595044*1/1099511627776</f>
        <v>1.5703290446253959E-12</v>
      </c>
    </row>
    <row r="22" spans="1:33" x14ac:dyDescent="0.25">
      <c r="A22" t="s">
        <v>22</v>
      </c>
      <c r="B22">
        <f>5+4*8</f>
        <v>37</v>
      </c>
      <c r="C22">
        <v>52</v>
      </c>
      <c r="N22" s="13" t="s">
        <v>64</v>
      </c>
      <c r="O22" s="12" t="s">
        <v>70</v>
      </c>
    </row>
    <row r="23" spans="1:33" x14ac:dyDescent="0.25">
      <c r="A23" t="s">
        <v>24</v>
      </c>
      <c r="B23">
        <f>1/4+2+8</f>
        <v>10.25</v>
      </c>
      <c r="C23" t="s">
        <v>25</v>
      </c>
    </row>
    <row r="24" spans="1:33" x14ac:dyDescent="0.25">
      <c r="A24" t="s">
        <v>26</v>
      </c>
      <c r="B24">
        <f>10*1/D5+1/16</f>
        <v>0.1015625</v>
      </c>
      <c r="C24" t="s">
        <v>25</v>
      </c>
      <c r="E24">
        <f>6*6*6</f>
        <v>216</v>
      </c>
    </row>
    <row r="25" spans="1:33" x14ac:dyDescent="0.25">
      <c r="A25" t="s">
        <v>27</v>
      </c>
      <c r="B25">
        <f>1+2*6+3*36+4*E24+5*E25</f>
        <v>7465</v>
      </c>
      <c r="C25">
        <v>16451</v>
      </c>
      <c r="E25">
        <f>6*6*6*6</f>
        <v>1296</v>
      </c>
    </row>
    <row r="26" spans="1:33" x14ac:dyDescent="0.25">
      <c r="A26" t="s">
        <v>28</v>
      </c>
      <c r="B26">
        <f>6+5*8</f>
        <v>46</v>
      </c>
      <c r="C26">
        <v>1201</v>
      </c>
      <c r="E26">
        <v>933</v>
      </c>
      <c r="H26">
        <f>2745/5</f>
        <v>549</v>
      </c>
    </row>
    <row r="27" spans="1:33" x14ac:dyDescent="0.25">
      <c r="A27" t="s">
        <v>29</v>
      </c>
      <c r="B27">
        <f>12+16*11+10*D5</f>
        <v>2748</v>
      </c>
      <c r="C27">
        <v>41443</v>
      </c>
      <c r="D27">
        <v>1</v>
      </c>
      <c r="E27">
        <v>116</v>
      </c>
      <c r="G27">
        <v>3</v>
      </c>
      <c r="H27">
        <f>545/5</f>
        <v>109</v>
      </c>
    </row>
    <row r="28" spans="1:33" x14ac:dyDescent="0.25">
      <c r="D28">
        <v>5</v>
      </c>
      <c r="E28">
        <v>14</v>
      </c>
      <c r="G28">
        <v>4</v>
      </c>
      <c r="H28">
        <v>21</v>
      </c>
    </row>
    <row r="29" spans="1:33" x14ac:dyDescent="0.25">
      <c r="D29">
        <v>4</v>
      </c>
      <c r="E29">
        <v>1</v>
      </c>
      <c r="G29">
        <v>4</v>
      </c>
      <c r="H29">
        <v>4</v>
      </c>
    </row>
    <row r="30" spans="1:33" x14ac:dyDescent="0.25">
      <c r="D30">
        <v>6</v>
      </c>
      <c r="G3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Toto</cp:lastModifiedBy>
  <dcterms:created xsi:type="dcterms:W3CDTF">2024-08-19T20:03:01Z</dcterms:created>
  <dcterms:modified xsi:type="dcterms:W3CDTF">2024-09-30T21:21:29Z</dcterms:modified>
</cp:coreProperties>
</file>